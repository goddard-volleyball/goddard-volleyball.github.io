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tylerlee/Code/goddard-volleyball.github.io/docs/"/>
    </mc:Choice>
  </mc:AlternateContent>
  <xr:revisionPtr revIDLastSave="0" documentId="13_ncr:1_{2C2FBEB4-5C2D-7943-B0C4-832BB98F270E}" xr6:coauthVersionLast="47" xr6:coauthVersionMax="47" xr10:uidLastSave="{00000000-0000-0000-0000-000000000000}"/>
  <bookViews>
    <workbookView xWindow="1620" yWindow="780" windowWidth="34380" windowHeight="22600" xr2:uid="{00000000-000D-0000-FFFF-FFFF00000000}"/>
  </bookViews>
  <sheets>
    <sheet name="2025-2026" sheetId="6" r:id="rId1"/>
    <sheet name="Clean Format for Email" sheetId="2" r:id="rId2"/>
  </sheets>
  <definedNames>
    <definedName name="_xlnm._FilterDatabase" localSheetId="0" hidden="1">'2025-2026'!$AD$1:$AG$9</definedName>
    <definedName name="_xlnm._FilterDatabase" localSheetId="1" hidden="1">'Clean Format for Email'!$B$3:$E$11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4" i="6" l="1"/>
  <c r="AG6" i="6"/>
  <c r="AG8" i="6"/>
  <c r="AG9" i="6"/>
  <c r="AG7" i="6"/>
  <c r="AG5" i="6"/>
  <c r="AG3" i="6"/>
  <c r="AG2" i="6"/>
  <c r="Z16" i="6"/>
  <c r="AE6" i="6" s="1"/>
  <c r="Z4" i="6"/>
  <c r="AE2" i="6" s="1"/>
  <c r="Z25" i="6"/>
  <c r="AE9" i="6" s="1"/>
  <c r="Z26" i="6"/>
  <c r="Z23" i="6"/>
  <c r="AF8" i="6" s="1"/>
  <c r="Z22" i="6"/>
  <c r="AE8" i="6" s="1"/>
  <c r="Z20" i="6"/>
  <c r="AF7" i="6" s="1"/>
  <c r="Z19" i="6"/>
  <c r="AE7" i="6" s="1"/>
  <c r="Z17" i="6"/>
  <c r="AF6" i="6" s="1"/>
  <c r="Z14" i="6"/>
  <c r="AF5" i="6" s="1"/>
  <c r="Z13" i="6"/>
  <c r="AE5" i="6" s="1"/>
  <c r="Z11" i="6"/>
  <c r="AF4" i="6" s="1"/>
  <c r="Z10" i="6"/>
  <c r="AE4" i="6" s="1"/>
  <c r="Z8" i="6"/>
  <c r="AF3" i="6" s="1"/>
  <c r="Z7" i="6"/>
  <c r="AE3" i="6" s="1"/>
  <c r="Z5" i="6"/>
  <c r="AF2" i="6" s="1"/>
  <c r="AD12" i="6" l="1" a="1"/>
  <c r="AD12" i="6" s="1"/>
  <c r="AB19" i="6"/>
  <c r="AB10" i="6"/>
  <c r="AB4" i="6"/>
  <c r="AB7" i="6"/>
  <c r="AB13" i="6"/>
  <c r="AB22" i="6"/>
  <c r="AB16" i="6"/>
  <c r="AB25" i="6"/>
  <c r="AF9" i="6"/>
  <c r="AH13" i="6" l="1"/>
  <c r="AH19" i="6"/>
  <c r="AH14" i="6"/>
  <c r="AH15" i="6"/>
  <c r="AH16" i="6"/>
  <c r="AH17" i="6"/>
  <c r="AH18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<sst xmlns="http://schemas.openxmlformats.org/spreadsheetml/2006/main" count="81" uniqueCount="21">
  <si>
    <t>Week</t>
  </si>
  <si>
    <t>Team</t>
  </si>
  <si>
    <t>Date</t>
  </si>
  <si>
    <t>TOTAL</t>
  </si>
  <si>
    <t>01 vs Team</t>
  </si>
  <si>
    <t>Wins</t>
  </si>
  <si>
    <t>Losses</t>
  </si>
  <si>
    <t>02 vs Team</t>
  </si>
  <si>
    <t>03 vs Team</t>
  </si>
  <si>
    <t>05 vs Team</t>
  </si>
  <si>
    <t>11 vs Team</t>
  </si>
  <si>
    <t>13 vs Team</t>
  </si>
  <si>
    <t>15 vs Team</t>
  </si>
  <si>
    <t>Pct</t>
  </si>
  <si>
    <t>22/T</t>
  </si>
  <si>
    <t xml:space="preserve">as of </t>
  </si>
  <si>
    <t>23/T</t>
  </si>
  <si>
    <t>08 vs Team</t>
  </si>
  <si>
    <t>as of 11/21/2025</t>
  </si>
  <si>
    <t>-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</si>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</sst>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36A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1F2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FF1CB"/>
        <bgColor indexed="64"/>
      </patternFill>
    </fill>
    <fill>
      <patternFill patternType="solid">
        <fgColor rgb="FF6196FF"/>
        <bgColor indexed="64"/>
      </patternFill>
    </fill>
  </fills>
  <borders count="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1" xfId="0" applyNumberForma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165" fontId="1" fillId="2" borderId="4" xfId="0" applyNumberFormat="1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4" xfId="0" applyFill="1" applyBorder="1" applyAlignment="1">
      <alignment horizontal="center"/>
    </xf>
    <xf numFmtId="165" fontId="0" fillId="7" borderId="4" xfId="0" applyNumberForma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165" fontId="0" fillId="8" borderId="4" xfId="0" applyNumberFormat="1" applyFill="1" applyBorder="1" applyAlignment="1">
      <alignment horizontal="center"/>
    </xf>
    <xf numFmtId="0" fontId="0" fillId="9" borderId="0" xfId="0" applyFill="1"/>
    <xf numFmtId="0" fontId="0" fillId="3" borderId="4" xfId="0" applyFill="1" applyBorder="1" applyAlignment="1">
      <alignment horizontal="center"/>
    </xf>
    <xf numFmtId="165" fontId="0" fillId="3" borderId="4" xfId="0" applyNumberForma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165" fontId="0" fillId="10" borderId="4" xfId="0" applyNumberFormat="1" applyFill="1" applyBorder="1" applyAlignment="1">
      <alignment horizontal="center"/>
    </xf>
    <xf numFmtId="164" fontId="1" fillId="11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DDE8"/>
        </patternFill>
      </fill>
    </dxf>
    <dxf>
      <fill>
        <patternFill>
          <bgColor rgb="FFFFDDE8"/>
        </patternFill>
      </fill>
    </dxf>
  </dxfs>
  <tableStyles count="0" defaultTableStyle="TableStyleMedium2" defaultPivotStyle="PivotStyleLight16"/>
  <colors>
    <mruColors>
      <color rgb="FF6196FF"/>
      <color rgb="FF003296"/>
      <color rgb="FFFFFF99"/>
      <color rgb="FFE1F2CE"/>
      <color rgb="FFFFDDE8"/>
      <color rgb="FF003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H26"/>
  <sheetViews>
    <sheetView tabSelected="1" zoomScale="140" zoomScaleNormal="14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G9" sqref="AG9"/>
    </sheetView>
  </sheetViews>
  <sheetFormatPr baseColWidth="10" defaultColWidth="8.83203125" defaultRowHeight="15" x14ac:dyDescent="0.2"/>
  <cols>
    <col min="1" max="1" width="5.5" style="1" customWidth="1"/>
    <col min="2" max="2" width="12.1640625" style="3" customWidth="1"/>
    <col min="3" max="25" width="6.6640625" style="2" customWidth="1"/>
    <col min="26" max="26" width="9" style="2" customWidth="1"/>
    <col min="27" max="27" width="6.6640625" style="1" customWidth="1"/>
    <col min="28" max="28" width="8" style="14" customWidth="1"/>
    <col min="29" max="29" width="8.5" customWidth="1"/>
    <col min="30" max="32" width="7.6640625" style="1" customWidth="1"/>
    <col min="33" max="33" width="8.33203125" style="1" customWidth="1"/>
  </cols>
  <sheetData>
    <row r="1" spans="1:34" ht="16" customHeight="1" x14ac:dyDescent="0.2">
      <c r="A1" s="4"/>
      <c r="B1" s="20" t="s">
        <v>2</v>
      </c>
      <c r="C1" s="5">
        <v>45926</v>
      </c>
      <c r="D1" s="5">
        <v>45933</v>
      </c>
      <c r="E1" s="5">
        <v>45940</v>
      </c>
      <c r="F1" s="5">
        <v>45947</v>
      </c>
      <c r="G1" s="5">
        <v>45954</v>
      </c>
      <c r="H1" s="5">
        <v>45968</v>
      </c>
      <c r="I1" s="5">
        <v>45975</v>
      </c>
      <c r="J1" s="5">
        <v>45982</v>
      </c>
      <c r="K1" s="35">
        <v>46031</v>
      </c>
      <c r="L1" s="35">
        <v>46038</v>
      </c>
      <c r="M1" s="35">
        <v>46045</v>
      </c>
      <c r="N1" s="35">
        <v>46052</v>
      </c>
      <c r="O1" s="35">
        <v>46059</v>
      </c>
      <c r="P1" s="35">
        <v>46066</v>
      </c>
      <c r="Q1" s="35">
        <v>46073</v>
      </c>
      <c r="R1" s="35">
        <v>46080</v>
      </c>
      <c r="S1" s="35">
        <v>46101</v>
      </c>
      <c r="T1" s="35">
        <v>46108</v>
      </c>
      <c r="U1" s="35">
        <v>46122</v>
      </c>
      <c r="V1" s="35">
        <v>46129</v>
      </c>
      <c r="W1" s="35">
        <v>46136</v>
      </c>
      <c r="X1" s="23">
        <v>46150</v>
      </c>
      <c r="Y1" s="23">
        <v>46157</v>
      </c>
      <c r="Z1" s="5"/>
      <c r="AA1" s="4"/>
      <c r="AB1" s="12"/>
      <c r="AD1" s="5" t="s">
        <v>1</v>
      </c>
      <c r="AE1" s="5" t="s">
        <v>5</v>
      </c>
      <c r="AF1" s="5" t="s">
        <v>6</v>
      </c>
      <c r="AG1" s="5" t="s">
        <v>13</v>
      </c>
    </row>
    <row r="2" spans="1:34" ht="16" customHeight="1" x14ac:dyDescent="0.2">
      <c r="A2" s="6" t="s">
        <v>1</v>
      </c>
      <c r="B2" s="7" t="s">
        <v>0</v>
      </c>
      <c r="C2" s="7">
        <v>5</v>
      </c>
      <c r="D2" s="7">
        <v>1</v>
      </c>
      <c r="E2" s="7">
        <v>2</v>
      </c>
      <c r="F2" s="7">
        <v>3</v>
      </c>
      <c r="G2" s="7">
        <v>4</v>
      </c>
      <c r="H2" s="7">
        <v>6</v>
      </c>
      <c r="I2" s="7">
        <v>7</v>
      </c>
      <c r="J2" s="7">
        <v>8</v>
      </c>
      <c r="K2" s="7">
        <v>9</v>
      </c>
      <c r="L2" s="7">
        <v>10</v>
      </c>
      <c r="M2" s="7">
        <v>11</v>
      </c>
      <c r="N2" s="7">
        <v>12</v>
      </c>
      <c r="O2" s="7">
        <v>13</v>
      </c>
      <c r="P2" s="7">
        <v>14</v>
      </c>
      <c r="Q2" s="7">
        <v>15</v>
      </c>
      <c r="R2" s="7">
        <v>16</v>
      </c>
      <c r="S2" s="7">
        <v>17</v>
      </c>
      <c r="T2" s="7">
        <v>18</v>
      </c>
      <c r="U2" s="7">
        <v>19</v>
      </c>
      <c r="V2" s="7">
        <v>20</v>
      </c>
      <c r="W2" s="7">
        <v>21</v>
      </c>
      <c r="X2" s="24" t="s">
        <v>14</v>
      </c>
      <c r="Y2" s="24" t="s">
        <v>16</v>
      </c>
      <c r="Z2" s="5" t="s">
        <v>3</v>
      </c>
      <c r="AA2" s="5" t="s">
        <v>1</v>
      </c>
      <c r="AB2" s="12" t="s">
        <v>13</v>
      </c>
      <c r="AD2" s="11">
        <v>1</v>
      </c>
      <c r="AE2" s="11">
        <f>Z4</f>
        <v>9</v>
      </c>
      <c r="AF2" s="11">
        <f>Z5</f>
        <v>18</v>
      </c>
      <c r="AG2" s="16">
        <f>ROUND(AE2/(AE2+AF2), 3)</f>
        <v>0.33300000000000002</v>
      </c>
    </row>
    <row r="3" spans="1:34" ht="16" customHeight="1" x14ac:dyDescent="0.2">
      <c r="A3" s="8">
        <v>1</v>
      </c>
      <c r="B3" s="9" t="s">
        <v>4</v>
      </c>
      <c r="C3" s="9">
        <v>3</v>
      </c>
      <c r="D3" s="9">
        <v>8</v>
      </c>
      <c r="E3" s="9">
        <v>15</v>
      </c>
      <c r="F3" s="9">
        <v>5</v>
      </c>
      <c r="G3" s="9">
        <v>13</v>
      </c>
      <c r="H3" s="9">
        <v>2</v>
      </c>
      <c r="I3" s="9">
        <v>11</v>
      </c>
      <c r="J3" s="9">
        <v>8</v>
      </c>
      <c r="K3" s="9">
        <v>15</v>
      </c>
      <c r="L3" s="9">
        <v>5</v>
      </c>
      <c r="M3" s="9">
        <v>13</v>
      </c>
      <c r="N3" s="9">
        <v>3</v>
      </c>
      <c r="O3" s="9">
        <v>2</v>
      </c>
      <c r="P3" s="9">
        <v>11</v>
      </c>
      <c r="Q3" s="9">
        <v>8</v>
      </c>
      <c r="R3" s="9">
        <v>15</v>
      </c>
      <c r="S3" s="9">
        <v>5</v>
      </c>
      <c r="T3" s="9">
        <v>13</v>
      </c>
      <c r="U3" s="9">
        <v>3</v>
      </c>
      <c r="V3" s="9">
        <v>2</v>
      </c>
      <c r="W3" s="9">
        <v>11</v>
      </c>
      <c r="X3" s="9"/>
      <c r="Y3" s="25"/>
      <c r="Z3" s="9"/>
      <c r="AA3" s="8">
        <v>1</v>
      </c>
      <c r="AB3" s="13"/>
      <c r="AD3" s="11">
        <v>2</v>
      </c>
      <c r="AE3" s="11">
        <f>Z7</f>
        <v>19</v>
      </c>
      <c r="AF3" s="11">
        <f>Z8</f>
        <v>8</v>
      </c>
      <c r="AG3" s="16">
        <f>ROUND(AE3/(AE3+AF3), 3)</f>
        <v>0.70399999999999996</v>
      </c>
    </row>
    <row r="4" spans="1:34" ht="16" customHeight="1" x14ac:dyDescent="0.2">
      <c r="A4" s="10">
        <v>1</v>
      </c>
      <c r="B4" s="11" t="s">
        <v>5</v>
      </c>
      <c r="C4" s="11">
        <v>2</v>
      </c>
      <c r="D4" s="11">
        <v>2</v>
      </c>
      <c r="E4" s="11">
        <v>1</v>
      </c>
      <c r="F4" s="11">
        <v>1</v>
      </c>
      <c r="G4" s="11">
        <v>2</v>
      </c>
      <c r="H4" s="11">
        <v>1</v>
      </c>
      <c r="I4" s="11">
        <v>1</v>
      </c>
      <c r="J4" s="11">
        <v>1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>
        <f>SUM(D4:Y4)</f>
        <v>9</v>
      </c>
      <c r="AA4" s="10">
        <v>1</v>
      </c>
      <c r="AB4" s="37">
        <f>Z4/(Z4+Z5)</f>
        <v>0.33333333333333331</v>
      </c>
      <c r="AD4" s="11">
        <v>3</v>
      </c>
      <c r="AE4" s="11">
        <f>Z10</f>
        <v>4</v>
      </c>
      <c r="AF4" s="11">
        <f>Z11</f>
        <v>21</v>
      </c>
      <c r="AG4" s="16">
        <f>ROUND(AE4/(AE4+AF4), 3)</f>
        <v>0.16</v>
      </c>
    </row>
    <row r="5" spans="1:34" ht="16" customHeight="1" x14ac:dyDescent="0.2">
      <c r="A5" s="10">
        <v>1</v>
      </c>
      <c r="B5" s="11" t="s">
        <v>6</v>
      </c>
      <c r="C5" s="11">
        <v>1</v>
      </c>
      <c r="D5" s="11">
        <v>1</v>
      </c>
      <c r="E5" s="11">
        <v>3</v>
      </c>
      <c r="F5" s="11">
        <v>3</v>
      </c>
      <c r="G5" s="11">
        <v>2</v>
      </c>
      <c r="H5" s="11">
        <v>3</v>
      </c>
      <c r="I5" s="11">
        <v>3</v>
      </c>
      <c r="J5" s="11">
        <v>3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>
        <f>SUM(D5:Y5)</f>
        <v>18</v>
      </c>
      <c r="AA5" s="10">
        <v>1</v>
      </c>
      <c r="AB5" s="38"/>
      <c r="AD5" s="11">
        <v>5</v>
      </c>
      <c r="AE5" s="11">
        <f>Z13</f>
        <v>6</v>
      </c>
      <c r="AF5" s="11">
        <f>Z14</f>
        <v>20</v>
      </c>
      <c r="AG5" s="16">
        <f>ROUND(AE5/(AE5+AF5), 3)</f>
        <v>0.23100000000000001</v>
      </c>
    </row>
    <row r="6" spans="1:34" ht="16" customHeight="1" x14ac:dyDescent="0.2">
      <c r="A6" s="8">
        <v>2</v>
      </c>
      <c r="B6" s="9" t="s">
        <v>7</v>
      </c>
      <c r="C6" s="9">
        <v>5</v>
      </c>
      <c r="D6" s="9">
        <v>13</v>
      </c>
      <c r="E6" s="9">
        <v>11</v>
      </c>
      <c r="F6" s="9">
        <v>8</v>
      </c>
      <c r="G6" s="9">
        <v>15</v>
      </c>
      <c r="H6" s="9">
        <v>1</v>
      </c>
      <c r="I6" s="9">
        <v>3</v>
      </c>
      <c r="J6" s="9">
        <v>13</v>
      </c>
      <c r="K6" s="9">
        <v>11</v>
      </c>
      <c r="L6" s="9">
        <v>8</v>
      </c>
      <c r="M6" s="9">
        <v>15</v>
      </c>
      <c r="N6" s="9">
        <v>5</v>
      </c>
      <c r="O6" s="9">
        <v>1</v>
      </c>
      <c r="P6" s="9">
        <v>3</v>
      </c>
      <c r="Q6" s="9">
        <v>13</v>
      </c>
      <c r="R6" s="9">
        <v>11</v>
      </c>
      <c r="S6" s="9">
        <v>8</v>
      </c>
      <c r="T6" s="9">
        <v>15</v>
      </c>
      <c r="U6" s="9">
        <v>5</v>
      </c>
      <c r="V6" s="9">
        <v>1</v>
      </c>
      <c r="W6" s="9">
        <v>3</v>
      </c>
      <c r="X6" s="9"/>
      <c r="Y6" s="25"/>
      <c r="Z6" s="9"/>
      <c r="AA6" s="8">
        <v>2</v>
      </c>
      <c r="AB6" s="19"/>
      <c r="AD6" s="11">
        <v>8</v>
      </c>
      <c r="AE6" s="11">
        <f>Z16</f>
        <v>15</v>
      </c>
      <c r="AF6" s="11">
        <f>Z17</f>
        <v>11</v>
      </c>
      <c r="AG6" s="16">
        <f>ROUND(AE6/(AE6+AF6), 3)</f>
        <v>0.57699999999999996</v>
      </c>
    </row>
    <row r="7" spans="1:34" ht="16" customHeight="1" x14ac:dyDescent="0.2">
      <c r="A7" s="10">
        <v>2</v>
      </c>
      <c r="B7" s="11" t="s">
        <v>5</v>
      </c>
      <c r="C7" s="11">
        <v>3</v>
      </c>
      <c r="D7" s="11">
        <v>3</v>
      </c>
      <c r="E7" s="11">
        <v>3</v>
      </c>
      <c r="F7" s="11">
        <v>4</v>
      </c>
      <c r="G7" s="11">
        <v>2</v>
      </c>
      <c r="H7" s="11">
        <v>3</v>
      </c>
      <c r="I7" s="11">
        <v>1</v>
      </c>
      <c r="J7" s="11">
        <v>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>
        <f>SUM(D7:Y7)</f>
        <v>19</v>
      </c>
      <c r="AA7" s="10">
        <v>2</v>
      </c>
      <c r="AB7" s="37">
        <f>Z7/(Z7+Z8)</f>
        <v>0.70370370370370372</v>
      </c>
      <c r="AD7" s="11">
        <v>11</v>
      </c>
      <c r="AE7" s="11">
        <f>Z19</f>
        <v>22</v>
      </c>
      <c r="AF7" s="11">
        <f>Z20</f>
        <v>5</v>
      </c>
      <c r="AG7" s="16">
        <f>ROUND(AE7/(AE7+AF7), 3)</f>
        <v>0.81499999999999995</v>
      </c>
    </row>
    <row r="8" spans="1:34" ht="16" customHeight="1" x14ac:dyDescent="0.2">
      <c r="A8" s="10">
        <v>2</v>
      </c>
      <c r="B8" s="11" t="s">
        <v>6</v>
      </c>
      <c r="C8" s="11">
        <v>1</v>
      </c>
      <c r="D8" s="11">
        <v>1</v>
      </c>
      <c r="E8" s="11">
        <v>1</v>
      </c>
      <c r="F8" s="11">
        <v>0</v>
      </c>
      <c r="G8" s="11">
        <v>2</v>
      </c>
      <c r="H8" s="11">
        <v>1</v>
      </c>
      <c r="I8" s="11">
        <v>2</v>
      </c>
      <c r="J8" s="11">
        <v>1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>
        <f>SUM(D8:Y8)</f>
        <v>8</v>
      </c>
      <c r="AA8" s="10">
        <v>2</v>
      </c>
      <c r="AB8" s="38"/>
      <c r="AD8" s="11">
        <v>13</v>
      </c>
      <c r="AE8" s="11">
        <f>Z22</f>
        <v>11</v>
      </c>
      <c r="AF8" s="11">
        <f>Z23</f>
        <v>15</v>
      </c>
      <c r="AG8" s="16">
        <f>ROUND(AE8/(AE8+AF8), 3)</f>
        <v>0.42299999999999999</v>
      </c>
    </row>
    <row r="9" spans="1:34" ht="16" customHeight="1" x14ac:dyDescent="0.2">
      <c r="A9" s="8">
        <v>3</v>
      </c>
      <c r="B9" s="9" t="s">
        <v>8</v>
      </c>
      <c r="C9" s="9">
        <v>1</v>
      </c>
      <c r="D9" s="9">
        <v>11</v>
      </c>
      <c r="E9" s="9">
        <v>8</v>
      </c>
      <c r="F9" s="9">
        <v>15</v>
      </c>
      <c r="G9" s="9">
        <v>5</v>
      </c>
      <c r="H9" s="9">
        <v>13</v>
      </c>
      <c r="I9" s="9">
        <v>2</v>
      </c>
      <c r="J9" s="9">
        <v>11</v>
      </c>
      <c r="K9" s="9">
        <v>8</v>
      </c>
      <c r="L9" s="9">
        <v>15</v>
      </c>
      <c r="M9" s="9">
        <v>5</v>
      </c>
      <c r="N9" s="9">
        <v>1</v>
      </c>
      <c r="O9" s="9">
        <v>13</v>
      </c>
      <c r="P9" s="9">
        <v>2</v>
      </c>
      <c r="Q9" s="9">
        <v>11</v>
      </c>
      <c r="R9" s="9">
        <v>8</v>
      </c>
      <c r="S9" s="9">
        <v>15</v>
      </c>
      <c r="T9" s="9">
        <v>5</v>
      </c>
      <c r="U9" s="9">
        <v>1</v>
      </c>
      <c r="V9" s="9">
        <v>13</v>
      </c>
      <c r="W9" s="9">
        <v>2</v>
      </c>
      <c r="X9" s="9"/>
      <c r="Y9" s="25"/>
      <c r="Z9" s="9"/>
      <c r="AA9" s="8">
        <v>3</v>
      </c>
      <c r="AB9" s="19"/>
      <c r="AD9" s="11">
        <v>15</v>
      </c>
      <c r="AE9" s="11">
        <f>Z25</f>
        <v>20</v>
      </c>
      <c r="AF9" s="11">
        <f>Z26</f>
        <v>8</v>
      </c>
      <c r="AG9" s="16">
        <f>ROUND(AE9/(AE9+AF9), 3)</f>
        <v>0.71399999999999997</v>
      </c>
    </row>
    <row r="10" spans="1:34" ht="16" customHeight="1" x14ac:dyDescent="0.2">
      <c r="A10" s="10">
        <v>3</v>
      </c>
      <c r="B10" s="11" t="s">
        <v>5</v>
      </c>
      <c r="C10" s="11">
        <v>1</v>
      </c>
      <c r="D10" s="11">
        <v>0</v>
      </c>
      <c r="E10" s="11">
        <v>0</v>
      </c>
      <c r="F10" s="11">
        <v>0</v>
      </c>
      <c r="G10" s="11">
        <v>1</v>
      </c>
      <c r="H10" s="11">
        <v>1</v>
      </c>
      <c r="I10" s="11">
        <v>2</v>
      </c>
      <c r="J10" s="11">
        <v>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>
        <f>SUM(D10:Y10)</f>
        <v>4</v>
      </c>
      <c r="AA10" s="10">
        <v>3</v>
      </c>
      <c r="AB10" s="37">
        <f>Z10/(Z10+Z11)</f>
        <v>0.16</v>
      </c>
      <c r="AD10"/>
      <c r="AE10"/>
      <c r="AF10"/>
      <c r="AG10"/>
    </row>
    <row r="11" spans="1:34" ht="16" customHeight="1" x14ac:dyDescent="0.2">
      <c r="A11" s="10">
        <v>3</v>
      </c>
      <c r="B11" s="11" t="s">
        <v>6</v>
      </c>
      <c r="C11" s="11">
        <v>2</v>
      </c>
      <c r="D11" s="11">
        <v>4</v>
      </c>
      <c r="E11" s="11">
        <v>4</v>
      </c>
      <c r="F11" s="11">
        <v>4</v>
      </c>
      <c r="G11" s="11">
        <v>2</v>
      </c>
      <c r="H11" s="11">
        <v>2</v>
      </c>
      <c r="I11" s="11">
        <v>1</v>
      </c>
      <c r="J11" s="11">
        <v>4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>
        <f>SUM(D11:Y11)</f>
        <v>21</v>
      </c>
      <c r="AA11" s="10">
        <v>3</v>
      </c>
      <c r="AB11" s="38"/>
      <c r="AD11" s="36" t="s">
        <v>1</v>
      </c>
      <c r="AE11" s="36" t="s">
        <v>5</v>
      </c>
      <c r="AF11" s="36" t="s">
        <v>6</v>
      </c>
      <c r="AG11" s="36" t="s">
        <v>13</v>
      </c>
      <c r="AH11" s="36" t="s">
        <v>20</v>
      </c>
    </row>
    <row r="12" spans="1:34" ht="16" customHeight="1" x14ac:dyDescent="0.2">
      <c r="A12" s="8">
        <v>5</v>
      </c>
      <c r="B12" s="9" t="s">
        <v>9</v>
      </c>
      <c r="C12" s="9">
        <v>2</v>
      </c>
      <c r="D12" s="9">
        <v>15</v>
      </c>
      <c r="E12" s="9">
        <v>13</v>
      </c>
      <c r="F12" s="9">
        <v>1</v>
      </c>
      <c r="G12" s="9">
        <v>3</v>
      </c>
      <c r="H12" s="9">
        <v>11</v>
      </c>
      <c r="I12" s="9">
        <v>8</v>
      </c>
      <c r="J12" s="9">
        <v>15</v>
      </c>
      <c r="K12" s="9">
        <v>13</v>
      </c>
      <c r="L12" s="9">
        <v>1</v>
      </c>
      <c r="M12" s="9">
        <v>3</v>
      </c>
      <c r="N12" s="9">
        <v>2</v>
      </c>
      <c r="O12" s="9">
        <v>11</v>
      </c>
      <c r="P12" s="9">
        <v>8</v>
      </c>
      <c r="Q12" s="9">
        <v>15</v>
      </c>
      <c r="R12" s="9">
        <v>13</v>
      </c>
      <c r="S12" s="9">
        <v>1</v>
      </c>
      <c r="T12" s="9">
        <v>3</v>
      </c>
      <c r="U12" s="9">
        <v>2</v>
      </c>
      <c r="V12" s="9">
        <v>11</v>
      </c>
      <c r="W12" s="9">
        <v>8</v>
      </c>
      <c r="X12" s="9"/>
      <c r="Y12" s="25"/>
      <c r="Z12" s="9"/>
      <c r="AA12" s="8">
        <v>5</v>
      </c>
      <c r="AB12" s="19"/>
      <c r="AD12" s="21" cm="1">
        <f t="array" ref="AD12:AG19">_xlfn._xlws.SORT(AD2:AG9, 4, -1)</f>
        <v>11</v>
      </c>
      <c r="AE12" s="21">
        <v>22</v>
      </c>
      <c r="AF12" s="21">
        <v>5</v>
      </c>
      <c r="AG12" s="22">
        <v>0.81499999999999995</v>
      </c>
      <c r="AH12" s="21" t="s">
        <v>19</v>
      </c>
    </row>
    <row r="13" spans="1:34" ht="16" customHeight="1" x14ac:dyDescent="0.2">
      <c r="A13" s="10">
        <v>5</v>
      </c>
      <c r="B13" s="11" t="s">
        <v>5</v>
      </c>
      <c r="C13" s="11">
        <v>1</v>
      </c>
      <c r="D13" s="11">
        <v>0</v>
      </c>
      <c r="E13" s="11">
        <v>0</v>
      </c>
      <c r="F13" s="11">
        <v>3</v>
      </c>
      <c r="G13" s="11">
        <v>2</v>
      </c>
      <c r="H13" s="11">
        <v>0</v>
      </c>
      <c r="I13" s="11">
        <v>0</v>
      </c>
      <c r="J13" s="11">
        <v>1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>
        <f>SUM(D13:Y13)</f>
        <v>6</v>
      </c>
      <c r="AA13" s="10">
        <v>5</v>
      </c>
      <c r="AB13" s="37">
        <f>Z13/(Z13+Z14)</f>
        <v>0.23076923076923078</v>
      </c>
      <c r="AD13" s="21">
        <v>15</v>
      </c>
      <c r="AE13" s="21">
        <v>20</v>
      </c>
      <c r="AF13" s="21">
        <v>8</v>
      </c>
      <c r="AG13" s="22">
        <v>0.71399999999999997</v>
      </c>
      <c r="AH13" s="21">
        <f>((AE12-AE13)+(AF13-AF12))/2</f>
        <v>2.5</v>
      </c>
    </row>
    <row r="14" spans="1:34" ht="16" customHeight="1" x14ac:dyDescent="0.2">
      <c r="A14" s="10">
        <v>5</v>
      </c>
      <c r="B14" s="11" t="s">
        <v>6</v>
      </c>
      <c r="C14" s="11">
        <v>3</v>
      </c>
      <c r="D14" s="11">
        <v>4</v>
      </c>
      <c r="E14" s="11">
        <v>4</v>
      </c>
      <c r="F14" s="11">
        <v>1</v>
      </c>
      <c r="G14" s="11">
        <v>1</v>
      </c>
      <c r="H14" s="11">
        <v>4</v>
      </c>
      <c r="I14" s="11">
        <v>3</v>
      </c>
      <c r="J14" s="11">
        <v>3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>
        <f>SUM(D14:Y14)</f>
        <v>20</v>
      </c>
      <c r="AA14" s="10">
        <v>5</v>
      </c>
      <c r="AB14" s="38"/>
      <c r="AD14" s="21">
        <v>2</v>
      </c>
      <c r="AE14" s="21">
        <v>19</v>
      </c>
      <c r="AF14" s="21">
        <v>8</v>
      </c>
      <c r="AG14" s="22">
        <v>0.70399999999999996</v>
      </c>
      <c r="AH14" s="21">
        <f>((AE12-AE14)+(AF14-AF12))/2</f>
        <v>3</v>
      </c>
    </row>
    <row r="15" spans="1:34" ht="16" customHeight="1" x14ac:dyDescent="0.2">
      <c r="A15" s="8">
        <v>8</v>
      </c>
      <c r="B15" s="9" t="s">
        <v>17</v>
      </c>
      <c r="C15" s="9">
        <v>13</v>
      </c>
      <c r="D15" s="9">
        <v>1</v>
      </c>
      <c r="E15" s="9">
        <v>3</v>
      </c>
      <c r="F15" s="9">
        <v>2</v>
      </c>
      <c r="G15" s="9">
        <v>11</v>
      </c>
      <c r="H15" s="9">
        <v>15</v>
      </c>
      <c r="I15" s="9">
        <v>5</v>
      </c>
      <c r="J15" s="9">
        <v>1</v>
      </c>
      <c r="K15" s="9">
        <v>3</v>
      </c>
      <c r="L15" s="9">
        <v>2</v>
      </c>
      <c r="M15" s="9">
        <v>11</v>
      </c>
      <c r="N15" s="9">
        <v>13</v>
      </c>
      <c r="O15" s="9">
        <v>15</v>
      </c>
      <c r="P15" s="9">
        <v>5</v>
      </c>
      <c r="Q15" s="9">
        <v>1</v>
      </c>
      <c r="R15" s="9">
        <v>3</v>
      </c>
      <c r="S15" s="9">
        <v>2</v>
      </c>
      <c r="T15" s="9">
        <v>11</v>
      </c>
      <c r="U15" s="9">
        <v>13</v>
      </c>
      <c r="V15" s="9">
        <v>15</v>
      </c>
      <c r="W15" s="9">
        <v>5</v>
      </c>
      <c r="X15" s="9"/>
      <c r="Y15" s="25"/>
      <c r="Z15" s="9"/>
      <c r="AA15" s="8">
        <v>8</v>
      </c>
      <c r="AB15" s="19"/>
      <c r="AD15" s="21">
        <v>8</v>
      </c>
      <c r="AE15" s="21">
        <v>15</v>
      </c>
      <c r="AF15" s="21">
        <v>11</v>
      </c>
      <c r="AG15" s="22">
        <v>0.57699999999999996</v>
      </c>
      <c r="AH15" s="21">
        <f>((AE12-AE15)+(AF15-AF12))/2</f>
        <v>6.5</v>
      </c>
    </row>
    <row r="16" spans="1:34" ht="16" customHeight="1" x14ac:dyDescent="0.2">
      <c r="A16" s="10">
        <v>8</v>
      </c>
      <c r="B16" s="11" t="s">
        <v>5</v>
      </c>
      <c r="C16" s="11">
        <v>2</v>
      </c>
      <c r="D16" s="11">
        <v>1</v>
      </c>
      <c r="E16" s="11">
        <v>4</v>
      </c>
      <c r="F16" s="11">
        <v>0</v>
      </c>
      <c r="G16" s="11">
        <v>0</v>
      </c>
      <c r="H16" s="11">
        <v>4</v>
      </c>
      <c r="I16" s="11">
        <v>3</v>
      </c>
      <c r="J16" s="11">
        <v>3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>
        <f>SUM(D16:Y16)</f>
        <v>15</v>
      </c>
      <c r="AA16" s="10">
        <v>8</v>
      </c>
      <c r="AB16" s="37">
        <f>Z16/(Z16+Z17)</f>
        <v>0.57692307692307687</v>
      </c>
      <c r="AD16" s="21">
        <v>13</v>
      </c>
      <c r="AE16" s="21">
        <v>11</v>
      </c>
      <c r="AF16" s="21">
        <v>15</v>
      </c>
      <c r="AG16" s="22">
        <v>0.42299999999999999</v>
      </c>
      <c r="AH16" s="21">
        <f>((AE12-AE16)+(AF16-AF12))/2</f>
        <v>10.5</v>
      </c>
    </row>
    <row r="17" spans="1:34" ht="16" customHeight="1" x14ac:dyDescent="0.2">
      <c r="A17" s="10">
        <v>8</v>
      </c>
      <c r="B17" s="11" t="s">
        <v>6</v>
      </c>
      <c r="C17" s="11">
        <v>2</v>
      </c>
      <c r="D17" s="11">
        <v>2</v>
      </c>
      <c r="E17" s="11">
        <v>0</v>
      </c>
      <c r="F17" s="11">
        <v>4</v>
      </c>
      <c r="G17" s="11">
        <v>4</v>
      </c>
      <c r="H17" s="11">
        <v>0</v>
      </c>
      <c r="I17" s="11">
        <v>0</v>
      </c>
      <c r="J17" s="11">
        <v>1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>
        <f>SUM(D17:Y17)</f>
        <v>11</v>
      </c>
      <c r="AA17" s="10">
        <v>8</v>
      </c>
      <c r="AB17" s="38"/>
      <c r="AD17" s="21">
        <v>1</v>
      </c>
      <c r="AE17" s="21">
        <v>9</v>
      </c>
      <c r="AF17" s="21">
        <v>18</v>
      </c>
      <c r="AG17" s="22">
        <v>0.33300000000000002</v>
      </c>
      <c r="AH17" s="21">
        <f>((AE12-AE17)+(AF17-AF12))/2</f>
        <v>13</v>
      </c>
    </row>
    <row r="18" spans="1:34" ht="16" customHeight="1" x14ac:dyDescent="0.2">
      <c r="A18" s="8">
        <v>11</v>
      </c>
      <c r="B18" s="9" t="s">
        <v>10</v>
      </c>
      <c r="C18" s="9">
        <v>15</v>
      </c>
      <c r="D18" s="9">
        <v>3</v>
      </c>
      <c r="E18" s="9">
        <v>2</v>
      </c>
      <c r="F18" s="9">
        <v>13</v>
      </c>
      <c r="G18" s="9">
        <v>8</v>
      </c>
      <c r="H18" s="9">
        <v>5</v>
      </c>
      <c r="I18" s="9">
        <v>1</v>
      </c>
      <c r="J18" s="9">
        <v>3</v>
      </c>
      <c r="K18" s="9">
        <v>2</v>
      </c>
      <c r="L18" s="9">
        <v>13</v>
      </c>
      <c r="M18" s="9">
        <v>8</v>
      </c>
      <c r="N18" s="9">
        <v>15</v>
      </c>
      <c r="O18" s="9">
        <v>5</v>
      </c>
      <c r="P18" s="9">
        <v>1</v>
      </c>
      <c r="Q18" s="9">
        <v>3</v>
      </c>
      <c r="R18" s="9">
        <v>2</v>
      </c>
      <c r="S18" s="9">
        <v>13</v>
      </c>
      <c r="T18" s="9">
        <v>8</v>
      </c>
      <c r="U18" s="9">
        <v>15</v>
      </c>
      <c r="V18" s="9">
        <v>5</v>
      </c>
      <c r="W18" s="9">
        <v>1</v>
      </c>
      <c r="X18" s="9"/>
      <c r="Y18" s="25"/>
      <c r="Z18" s="9"/>
      <c r="AA18" s="8">
        <v>11</v>
      </c>
      <c r="AB18" s="19"/>
      <c r="AD18" s="21">
        <v>5</v>
      </c>
      <c r="AE18" s="21">
        <v>6</v>
      </c>
      <c r="AF18" s="21">
        <v>20</v>
      </c>
      <c r="AG18" s="22">
        <v>0.23100000000000001</v>
      </c>
      <c r="AH18" s="21">
        <f>((AE12-AE18)+(AF18-AF12))/2</f>
        <v>15.5</v>
      </c>
    </row>
    <row r="19" spans="1:34" ht="16" customHeight="1" x14ac:dyDescent="0.2">
      <c r="A19" s="10">
        <v>11</v>
      </c>
      <c r="B19" s="11" t="s">
        <v>5</v>
      </c>
      <c r="C19" s="11">
        <v>0</v>
      </c>
      <c r="D19" s="11">
        <v>4</v>
      </c>
      <c r="E19" s="11">
        <v>1</v>
      </c>
      <c r="F19" s="11">
        <v>2</v>
      </c>
      <c r="G19" s="11">
        <v>4</v>
      </c>
      <c r="H19" s="11">
        <v>4</v>
      </c>
      <c r="I19" s="11">
        <v>3</v>
      </c>
      <c r="J19" s="11">
        <v>4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>
        <f>SUM(D19:Y19)</f>
        <v>22</v>
      </c>
      <c r="AA19" s="10">
        <v>11</v>
      </c>
      <c r="AB19" s="37">
        <f>Z19/(Z19+Z20)</f>
        <v>0.81481481481481477</v>
      </c>
      <c r="AD19" s="21">
        <v>3</v>
      </c>
      <c r="AE19" s="21">
        <v>4</v>
      </c>
      <c r="AF19" s="21">
        <v>21</v>
      </c>
      <c r="AG19" s="22">
        <v>0.16</v>
      </c>
      <c r="AH19" s="21">
        <f>((AE12-AE19)+(AF19-AF12))/2</f>
        <v>17</v>
      </c>
    </row>
    <row r="20" spans="1:34" ht="16" customHeight="1" x14ac:dyDescent="0.2">
      <c r="A20" s="10">
        <v>11</v>
      </c>
      <c r="B20" s="11" t="s">
        <v>6</v>
      </c>
      <c r="C20" s="11">
        <v>4</v>
      </c>
      <c r="D20" s="11">
        <v>0</v>
      </c>
      <c r="E20" s="11">
        <v>3</v>
      </c>
      <c r="F20" s="11">
        <v>1</v>
      </c>
      <c r="G20" s="11">
        <v>0</v>
      </c>
      <c r="H20" s="11">
        <v>0</v>
      </c>
      <c r="I20" s="11">
        <v>1</v>
      </c>
      <c r="J20" s="11">
        <v>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>
        <f>SUM(D20:Y20)</f>
        <v>5</v>
      </c>
      <c r="AA20" s="10">
        <v>11</v>
      </c>
      <c r="AB20" s="38"/>
    </row>
    <row r="21" spans="1:34" ht="16" customHeight="1" x14ac:dyDescent="0.2">
      <c r="A21" s="8">
        <v>13</v>
      </c>
      <c r="B21" s="9" t="s">
        <v>11</v>
      </c>
      <c r="C21" s="9">
        <v>8</v>
      </c>
      <c r="D21" s="9">
        <v>2</v>
      </c>
      <c r="E21" s="9">
        <v>5</v>
      </c>
      <c r="F21" s="9">
        <v>11</v>
      </c>
      <c r="G21" s="9">
        <v>1</v>
      </c>
      <c r="H21" s="9">
        <v>3</v>
      </c>
      <c r="I21" s="9">
        <v>15</v>
      </c>
      <c r="J21" s="9">
        <v>2</v>
      </c>
      <c r="K21" s="9">
        <v>5</v>
      </c>
      <c r="L21" s="9">
        <v>11</v>
      </c>
      <c r="M21" s="9">
        <v>1</v>
      </c>
      <c r="N21" s="9">
        <v>8</v>
      </c>
      <c r="O21" s="9">
        <v>3</v>
      </c>
      <c r="P21" s="9">
        <v>15</v>
      </c>
      <c r="Q21" s="9">
        <v>2</v>
      </c>
      <c r="R21" s="9">
        <v>5</v>
      </c>
      <c r="S21" s="9">
        <v>11</v>
      </c>
      <c r="T21" s="9">
        <v>1</v>
      </c>
      <c r="U21" s="9">
        <v>8</v>
      </c>
      <c r="V21" s="9">
        <v>3</v>
      </c>
      <c r="W21" s="9">
        <v>15</v>
      </c>
      <c r="X21" s="9"/>
      <c r="Y21" s="25"/>
      <c r="Z21" s="9"/>
      <c r="AA21" s="8">
        <v>13</v>
      </c>
      <c r="AB21" s="19"/>
    </row>
    <row r="22" spans="1:34" ht="16" customHeight="1" x14ac:dyDescent="0.2">
      <c r="A22" s="10">
        <v>13</v>
      </c>
      <c r="B22" s="11" t="s">
        <v>5</v>
      </c>
      <c r="C22" s="11">
        <v>2</v>
      </c>
      <c r="D22" s="11">
        <v>1</v>
      </c>
      <c r="E22" s="11">
        <v>4</v>
      </c>
      <c r="F22" s="11">
        <v>1</v>
      </c>
      <c r="G22" s="11">
        <v>2</v>
      </c>
      <c r="H22" s="11">
        <v>2</v>
      </c>
      <c r="I22" s="11">
        <v>0</v>
      </c>
      <c r="J22" s="11">
        <v>1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>
        <f>SUM(D22:Y22)</f>
        <v>11</v>
      </c>
      <c r="AA22" s="10">
        <v>13</v>
      </c>
      <c r="AB22" s="37">
        <f>Z22/(Z22+Z23)</f>
        <v>0.42307692307692307</v>
      </c>
    </row>
    <row r="23" spans="1:34" ht="16" customHeight="1" x14ac:dyDescent="0.2">
      <c r="A23" s="10">
        <v>13</v>
      </c>
      <c r="B23" s="11" t="s">
        <v>6</v>
      </c>
      <c r="C23" s="11">
        <v>2</v>
      </c>
      <c r="D23" s="11">
        <v>3</v>
      </c>
      <c r="E23" s="11">
        <v>0</v>
      </c>
      <c r="F23" s="11">
        <v>2</v>
      </c>
      <c r="G23" s="11">
        <v>2</v>
      </c>
      <c r="H23" s="11">
        <v>1</v>
      </c>
      <c r="I23" s="11">
        <v>4</v>
      </c>
      <c r="J23" s="11">
        <v>3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>
        <f>SUM(D23:Y23)</f>
        <v>15</v>
      </c>
      <c r="AA23" s="10">
        <v>13</v>
      </c>
      <c r="AB23" s="38"/>
    </row>
    <row r="24" spans="1:34" ht="16" customHeight="1" x14ac:dyDescent="0.2">
      <c r="A24" s="8">
        <v>15</v>
      </c>
      <c r="B24" s="9" t="s">
        <v>12</v>
      </c>
      <c r="C24" s="9">
        <v>11</v>
      </c>
      <c r="D24" s="9">
        <v>5</v>
      </c>
      <c r="E24" s="9">
        <v>1</v>
      </c>
      <c r="F24" s="9">
        <v>3</v>
      </c>
      <c r="G24" s="9">
        <v>2</v>
      </c>
      <c r="H24" s="9">
        <v>8</v>
      </c>
      <c r="I24" s="9">
        <v>13</v>
      </c>
      <c r="J24" s="9">
        <v>5</v>
      </c>
      <c r="K24" s="9">
        <v>1</v>
      </c>
      <c r="L24" s="9">
        <v>3</v>
      </c>
      <c r="M24" s="9">
        <v>2</v>
      </c>
      <c r="N24" s="9">
        <v>11</v>
      </c>
      <c r="O24" s="9">
        <v>8</v>
      </c>
      <c r="P24" s="9">
        <v>13</v>
      </c>
      <c r="Q24" s="9">
        <v>5</v>
      </c>
      <c r="R24" s="9">
        <v>1</v>
      </c>
      <c r="S24" s="9">
        <v>15</v>
      </c>
      <c r="T24" s="9">
        <v>2</v>
      </c>
      <c r="U24" s="9">
        <v>11</v>
      </c>
      <c r="V24" s="9">
        <v>8</v>
      </c>
      <c r="W24" s="9">
        <v>13</v>
      </c>
      <c r="X24" s="9"/>
      <c r="Y24" s="25"/>
      <c r="Z24" s="9"/>
      <c r="AA24" s="8">
        <v>15</v>
      </c>
      <c r="AB24" s="19"/>
    </row>
    <row r="25" spans="1:34" ht="16" customHeight="1" x14ac:dyDescent="0.2">
      <c r="A25" s="10">
        <v>15</v>
      </c>
      <c r="B25" s="11" t="s">
        <v>5</v>
      </c>
      <c r="C25" s="11">
        <v>4</v>
      </c>
      <c r="D25" s="11">
        <v>4</v>
      </c>
      <c r="E25" s="11">
        <v>3</v>
      </c>
      <c r="F25" s="11">
        <v>4</v>
      </c>
      <c r="G25" s="11">
        <v>2</v>
      </c>
      <c r="H25" s="11">
        <v>0</v>
      </c>
      <c r="I25" s="11">
        <v>4</v>
      </c>
      <c r="J25" s="11">
        <v>3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>
        <f>SUM(D25:Y25)</f>
        <v>20</v>
      </c>
      <c r="AA25" s="10">
        <v>15</v>
      </c>
      <c r="AB25" s="37">
        <f>Z25/(Z25+Z26)</f>
        <v>0.7142857142857143</v>
      </c>
    </row>
    <row r="26" spans="1:34" ht="16" customHeight="1" x14ac:dyDescent="0.2">
      <c r="A26" s="10">
        <v>15</v>
      </c>
      <c r="B26" s="11" t="s">
        <v>6</v>
      </c>
      <c r="C26" s="11">
        <v>0</v>
      </c>
      <c r="D26" s="11">
        <v>0</v>
      </c>
      <c r="E26" s="11">
        <v>1</v>
      </c>
      <c r="F26" s="11">
        <v>0</v>
      </c>
      <c r="G26" s="11">
        <v>2</v>
      </c>
      <c r="H26" s="11">
        <v>4</v>
      </c>
      <c r="I26" s="11">
        <v>0</v>
      </c>
      <c r="J26" s="11">
        <v>1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>
        <f>SUM(D26:Y26)</f>
        <v>8</v>
      </c>
      <c r="AA26" s="10">
        <v>15</v>
      </c>
      <c r="AB26" s="38"/>
    </row>
  </sheetData>
  <mergeCells count="8">
    <mergeCell ref="AB22:AB23"/>
    <mergeCell ref="AB25:AB26"/>
    <mergeCell ref="AB4:AB5"/>
    <mergeCell ref="AB7:AB8"/>
    <mergeCell ref="AB10:AB11"/>
    <mergeCell ref="AB13:AB14"/>
    <mergeCell ref="AB16:AB17"/>
    <mergeCell ref="AB19:AB20"/>
  </mergeCells>
  <conditionalFormatting sqref="C4:Y5 C7:Y8 C10:Y11 C13:Y14 C16:Y17 C19:Y20 C22:Y23">
    <cfRule type="containsBlanks" dxfId="1" priority="2">
      <formula>LEN(TRIM(C4))=0</formula>
    </cfRule>
  </conditionalFormatting>
  <conditionalFormatting sqref="C25:Y26">
    <cfRule type="containsBlanks" dxfId="0" priority="3">
      <formula>LEN(TRIM(C25))=0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P11"/>
  <sheetViews>
    <sheetView zoomScale="130" zoomScaleNormal="13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L11" sqref="I3:L11"/>
    </sheetView>
  </sheetViews>
  <sheetFormatPr baseColWidth="10" defaultColWidth="8.83203125" defaultRowHeight="15" x14ac:dyDescent="0.2"/>
  <cols>
    <col min="5" max="5" width="9.1640625" style="15"/>
    <col min="6" max="6" width="6.6640625" customWidth="1"/>
    <col min="7" max="7" width="2.5" style="30" customWidth="1"/>
    <col min="8" max="8" width="6.6640625" customWidth="1"/>
    <col min="13" max="13" width="3.6640625" customWidth="1"/>
    <col min="18" max="18" width="3.6640625" customWidth="1"/>
    <col min="23" max="23" width="3.6640625" customWidth="1"/>
    <col min="28" max="28" width="3.6640625" customWidth="1"/>
    <col min="33" max="33" width="3.6640625" customWidth="1"/>
    <col min="38" max="38" width="3.6640625" customWidth="1"/>
  </cols>
  <sheetData>
    <row r="2" spans="2:42" x14ac:dyDescent="0.2">
      <c r="I2" t="s">
        <v>18</v>
      </c>
      <c r="N2" t="s">
        <v>15</v>
      </c>
      <c r="S2" t="s">
        <v>15</v>
      </c>
      <c r="X2" t="s">
        <v>15</v>
      </c>
      <c r="AC2" t="s">
        <v>15</v>
      </c>
      <c r="AH2" t="s">
        <v>15</v>
      </c>
      <c r="AM2" t="s">
        <v>15</v>
      </c>
    </row>
    <row r="3" spans="2:42" x14ac:dyDescent="0.2">
      <c r="B3" s="17" t="s">
        <v>1</v>
      </c>
      <c r="C3" s="17" t="s">
        <v>5</v>
      </c>
      <c r="D3" s="17" t="s">
        <v>6</v>
      </c>
      <c r="E3" s="18" t="s">
        <v>13</v>
      </c>
      <c r="I3" s="17" t="s">
        <v>1</v>
      </c>
      <c r="J3" s="17" t="s">
        <v>5</v>
      </c>
      <c r="K3" s="17" t="s">
        <v>6</v>
      </c>
      <c r="L3" s="18" t="s">
        <v>13</v>
      </c>
      <c r="N3" s="17" t="s">
        <v>1</v>
      </c>
      <c r="O3" s="17" t="s">
        <v>5</v>
      </c>
      <c r="P3" s="17" t="s">
        <v>6</v>
      </c>
      <c r="Q3" s="18" t="s">
        <v>13</v>
      </c>
      <c r="S3" s="17" t="s">
        <v>1</v>
      </c>
      <c r="T3" s="17" t="s">
        <v>5</v>
      </c>
      <c r="U3" s="17" t="s">
        <v>6</v>
      </c>
      <c r="V3" s="18" t="s">
        <v>13</v>
      </c>
      <c r="X3" s="17" t="s">
        <v>1</v>
      </c>
      <c r="Y3" s="17" t="s">
        <v>5</v>
      </c>
      <c r="Z3" s="17" t="s">
        <v>6</v>
      </c>
      <c r="AA3" s="18" t="s">
        <v>13</v>
      </c>
      <c r="AC3" s="17" t="s">
        <v>1</v>
      </c>
      <c r="AD3" s="17" t="s">
        <v>5</v>
      </c>
      <c r="AE3" s="17" t="s">
        <v>6</v>
      </c>
      <c r="AF3" s="18" t="s">
        <v>13</v>
      </c>
      <c r="AH3" s="17" t="s">
        <v>1</v>
      </c>
      <c r="AI3" s="17" t="s">
        <v>5</v>
      </c>
      <c r="AJ3" s="17" t="s">
        <v>6</v>
      </c>
      <c r="AK3" s="18" t="s">
        <v>13</v>
      </c>
      <c r="AM3" s="17" t="s">
        <v>1</v>
      </c>
      <c r="AN3" s="17" t="s">
        <v>5</v>
      </c>
      <c r="AO3" s="17" t="s">
        <v>6</v>
      </c>
      <c r="AP3" s="18" t="s">
        <v>13</v>
      </c>
    </row>
    <row r="4" spans="2:42" x14ac:dyDescent="0.2">
      <c r="B4" s="31">
        <v>11</v>
      </c>
      <c r="C4" s="31">
        <v>22</v>
      </c>
      <c r="D4" s="31">
        <v>5</v>
      </c>
      <c r="E4" s="32">
        <v>0.81481481481481477</v>
      </c>
      <c r="I4" s="28">
        <v>11</v>
      </c>
      <c r="J4" s="28">
        <v>22</v>
      </c>
      <c r="K4" s="28">
        <v>5</v>
      </c>
      <c r="L4" s="29">
        <v>0.81481481481481477</v>
      </c>
      <c r="N4" s="28"/>
      <c r="O4" s="28"/>
      <c r="P4" s="28"/>
      <c r="Q4" s="29"/>
      <c r="S4" s="28"/>
      <c r="T4" s="28"/>
      <c r="U4" s="28"/>
      <c r="V4" s="29"/>
      <c r="X4" s="28"/>
      <c r="Y4" s="28"/>
      <c r="Z4" s="28"/>
      <c r="AA4" s="29"/>
      <c r="AC4" s="28"/>
      <c r="AD4" s="28"/>
      <c r="AE4" s="28"/>
      <c r="AF4" s="29"/>
      <c r="AH4" s="33"/>
      <c r="AI4" s="33"/>
      <c r="AJ4" s="33"/>
      <c r="AK4" s="34"/>
      <c r="AM4" s="31"/>
      <c r="AN4" s="31"/>
      <c r="AO4" s="31"/>
      <c r="AP4" s="32"/>
    </row>
    <row r="5" spans="2:42" x14ac:dyDescent="0.2">
      <c r="B5" s="31">
        <v>15</v>
      </c>
      <c r="C5" s="31">
        <v>20</v>
      </c>
      <c r="D5" s="31">
        <v>8</v>
      </c>
      <c r="E5" s="32">
        <v>0.7142857142857143</v>
      </c>
      <c r="I5" s="28">
        <v>15</v>
      </c>
      <c r="J5" s="28">
        <v>20</v>
      </c>
      <c r="K5" s="28">
        <v>8</v>
      </c>
      <c r="L5" s="29">
        <v>0.7142857142857143</v>
      </c>
      <c r="N5" s="28"/>
      <c r="O5" s="28"/>
      <c r="P5" s="28"/>
      <c r="Q5" s="29"/>
      <c r="S5" s="28"/>
      <c r="T5" s="28"/>
      <c r="U5" s="28"/>
      <c r="V5" s="29"/>
      <c r="X5" s="28"/>
      <c r="Y5" s="28"/>
      <c r="Z5" s="28"/>
      <c r="AA5" s="29"/>
      <c r="AC5" s="28"/>
      <c r="AD5" s="28"/>
      <c r="AE5" s="28"/>
      <c r="AF5" s="29"/>
      <c r="AH5" s="33"/>
      <c r="AI5" s="33"/>
      <c r="AJ5" s="33"/>
      <c r="AK5" s="34"/>
      <c r="AM5" s="31"/>
      <c r="AN5" s="31"/>
      <c r="AO5" s="31"/>
      <c r="AP5" s="32"/>
    </row>
    <row r="6" spans="2:42" x14ac:dyDescent="0.2">
      <c r="B6" s="31">
        <v>2</v>
      </c>
      <c r="C6" s="31">
        <v>19</v>
      </c>
      <c r="D6" s="31">
        <v>8</v>
      </c>
      <c r="E6" s="32">
        <v>0.70370370370370372</v>
      </c>
      <c r="I6" s="28">
        <v>2</v>
      </c>
      <c r="J6" s="28">
        <v>19</v>
      </c>
      <c r="K6" s="28">
        <v>8</v>
      </c>
      <c r="L6" s="29">
        <v>0.70370370370370372</v>
      </c>
      <c r="N6" s="28"/>
      <c r="O6" s="28"/>
      <c r="P6" s="28"/>
      <c r="Q6" s="29"/>
      <c r="S6" s="28"/>
      <c r="T6" s="28"/>
      <c r="U6" s="28"/>
      <c r="V6" s="29"/>
      <c r="X6" s="28"/>
      <c r="Y6" s="28"/>
      <c r="Z6" s="28"/>
      <c r="AA6" s="29"/>
      <c r="AC6" s="28"/>
      <c r="AD6" s="28"/>
      <c r="AE6" s="28"/>
      <c r="AF6" s="29"/>
      <c r="AH6" s="33"/>
      <c r="AI6" s="33"/>
      <c r="AJ6" s="33"/>
      <c r="AK6" s="34"/>
      <c r="AM6" s="31"/>
      <c r="AN6" s="31"/>
      <c r="AO6" s="31"/>
      <c r="AP6" s="32"/>
    </row>
    <row r="7" spans="2:42" x14ac:dyDescent="0.2">
      <c r="B7" s="31">
        <v>8</v>
      </c>
      <c r="C7" s="31">
        <v>15</v>
      </c>
      <c r="D7" s="31">
        <v>11</v>
      </c>
      <c r="E7" s="32">
        <v>0.57692307692307687</v>
      </c>
      <c r="I7" s="28">
        <v>8</v>
      </c>
      <c r="J7" s="28">
        <v>15</v>
      </c>
      <c r="K7" s="28">
        <v>11</v>
      </c>
      <c r="L7" s="29">
        <v>0.57692307692307687</v>
      </c>
      <c r="N7" s="28"/>
      <c r="O7" s="28"/>
      <c r="P7" s="28"/>
      <c r="Q7" s="29"/>
      <c r="S7" s="28"/>
      <c r="T7" s="28"/>
      <c r="U7" s="28"/>
      <c r="V7" s="29"/>
      <c r="X7" s="28"/>
      <c r="Y7" s="28"/>
      <c r="Z7" s="28"/>
      <c r="AA7" s="29"/>
      <c r="AC7" s="28"/>
      <c r="AD7" s="28"/>
      <c r="AE7" s="28"/>
      <c r="AF7" s="29"/>
      <c r="AH7" s="33"/>
      <c r="AI7" s="33"/>
      <c r="AJ7" s="33"/>
      <c r="AK7" s="34"/>
      <c r="AM7" s="31"/>
      <c r="AN7" s="31"/>
      <c r="AO7" s="31"/>
      <c r="AP7" s="32"/>
    </row>
    <row r="8" spans="2:42" x14ac:dyDescent="0.2">
      <c r="B8" s="21">
        <v>13</v>
      </c>
      <c r="C8" s="21">
        <v>11</v>
      </c>
      <c r="D8" s="21">
        <v>15</v>
      </c>
      <c r="E8" s="22">
        <v>0.42307692307692307</v>
      </c>
      <c r="I8" s="21">
        <v>13</v>
      </c>
      <c r="J8" s="21">
        <v>11</v>
      </c>
      <c r="K8" s="21">
        <v>15</v>
      </c>
      <c r="L8" s="22">
        <v>0.42307692307692307</v>
      </c>
      <c r="N8" s="21"/>
      <c r="O8" s="21"/>
      <c r="P8" s="21"/>
      <c r="Q8" s="22"/>
      <c r="S8" s="26"/>
      <c r="T8" s="26"/>
      <c r="U8" s="26"/>
      <c r="V8" s="27"/>
      <c r="X8" s="26"/>
      <c r="Y8" s="26"/>
      <c r="Z8" s="26"/>
      <c r="AA8" s="27"/>
      <c r="AC8" s="26"/>
      <c r="AD8" s="26"/>
      <c r="AE8" s="26"/>
      <c r="AF8" s="27"/>
      <c r="AH8" s="26"/>
      <c r="AI8" s="26"/>
      <c r="AJ8" s="26"/>
      <c r="AK8" s="27"/>
      <c r="AM8" s="26"/>
      <c r="AN8" s="26"/>
      <c r="AO8" s="26"/>
      <c r="AP8" s="27"/>
    </row>
    <row r="9" spans="2:42" x14ac:dyDescent="0.2">
      <c r="B9" s="21">
        <v>1</v>
      </c>
      <c r="C9" s="21">
        <v>9</v>
      </c>
      <c r="D9" s="21">
        <v>18</v>
      </c>
      <c r="E9" s="22">
        <v>0.33333333333333331</v>
      </c>
      <c r="I9" s="21">
        <v>1</v>
      </c>
      <c r="J9" s="21">
        <v>9</v>
      </c>
      <c r="K9" s="21">
        <v>18</v>
      </c>
      <c r="L9" s="22">
        <v>0.33333333333333331</v>
      </c>
      <c r="N9" s="21"/>
      <c r="O9" s="21"/>
      <c r="P9" s="21"/>
      <c r="Q9" s="22"/>
      <c r="S9" s="26"/>
      <c r="T9" s="26"/>
      <c r="U9" s="26"/>
      <c r="V9" s="27"/>
      <c r="X9" s="26"/>
      <c r="Y9" s="26"/>
      <c r="Z9" s="26"/>
      <c r="AA9" s="27"/>
      <c r="AC9" s="26"/>
      <c r="AD9" s="26"/>
      <c r="AE9" s="26"/>
      <c r="AF9" s="27"/>
      <c r="AH9" s="26"/>
      <c r="AI9" s="26"/>
      <c r="AJ9" s="26"/>
      <c r="AK9" s="27"/>
      <c r="AM9" s="26"/>
      <c r="AN9" s="26"/>
      <c r="AO9" s="26"/>
      <c r="AP9" s="27"/>
    </row>
    <row r="10" spans="2:42" x14ac:dyDescent="0.2">
      <c r="B10" s="21">
        <v>5</v>
      </c>
      <c r="C10" s="21">
        <v>6</v>
      </c>
      <c r="D10" s="21">
        <v>20</v>
      </c>
      <c r="E10" s="22">
        <v>0.23076923076923078</v>
      </c>
      <c r="I10" s="21">
        <v>5</v>
      </c>
      <c r="J10" s="21">
        <v>6</v>
      </c>
      <c r="K10" s="21">
        <v>20</v>
      </c>
      <c r="L10" s="22">
        <v>0.23076923076923078</v>
      </c>
      <c r="N10" s="21"/>
      <c r="O10" s="21"/>
      <c r="P10" s="21"/>
      <c r="Q10" s="22"/>
      <c r="S10" s="26"/>
      <c r="T10" s="26"/>
      <c r="U10" s="26"/>
      <c r="V10" s="27"/>
      <c r="X10" s="26"/>
      <c r="Y10" s="26"/>
      <c r="Z10" s="26"/>
      <c r="AA10" s="27"/>
      <c r="AC10" s="26"/>
      <c r="AD10" s="26"/>
      <c r="AE10" s="26"/>
      <c r="AF10" s="27"/>
      <c r="AH10" s="26"/>
      <c r="AI10" s="26"/>
      <c r="AJ10" s="26"/>
      <c r="AK10" s="27"/>
      <c r="AM10" s="26"/>
      <c r="AN10" s="26"/>
      <c r="AO10" s="26"/>
      <c r="AP10" s="27"/>
    </row>
    <row r="11" spans="2:42" x14ac:dyDescent="0.2">
      <c r="B11" s="21">
        <v>3</v>
      </c>
      <c r="C11" s="21">
        <v>4</v>
      </c>
      <c r="D11" s="21">
        <v>21</v>
      </c>
      <c r="E11" s="22">
        <v>0.16</v>
      </c>
      <c r="I11" s="21">
        <v>3</v>
      </c>
      <c r="J11" s="21">
        <v>4</v>
      </c>
      <c r="K11" s="21">
        <v>21</v>
      </c>
      <c r="L11" s="22">
        <v>0.16</v>
      </c>
      <c r="N11" s="21"/>
      <c r="O11" s="21"/>
      <c r="P11" s="21"/>
      <c r="Q11" s="22"/>
      <c r="S11" s="26"/>
      <c r="T11" s="26"/>
      <c r="U11" s="26"/>
      <c r="V11" s="27"/>
      <c r="X11" s="26"/>
      <c r="Y11" s="26"/>
      <c r="Z11" s="26"/>
      <c r="AA11" s="27"/>
      <c r="AC11" s="26"/>
      <c r="AD11" s="26"/>
      <c r="AE11" s="26"/>
      <c r="AF11" s="27"/>
      <c r="AH11" s="26"/>
      <c r="AI11" s="26"/>
      <c r="AJ11" s="26"/>
      <c r="AK11" s="27"/>
      <c r="AM11" s="26"/>
      <c r="AN11" s="26"/>
      <c r="AO11" s="26"/>
      <c r="AP11" s="27"/>
    </row>
  </sheetData>
  <autoFilter ref="B3:E11" xr:uid="{00000000-0001-0000-0400-000000000000}">
    <sortState xmlns:xlrd2="http://schemas.microsoft.com/office/spreadsheetml/2017/richdata2" ref="B4:E11">
      <sortCondition descending="1" ref="E3:E11"/>
    </sortState>
  </autoFilter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2025-2026</vt:lpstr>
      <vt:lpstr>Clean Format for Email</vt:lpstr>
    </vt:vector>
  </TitlesOfParts>
  <Company>GOES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Yam, Lorinda S. (GSFC-416.0)[ECG, INC]</dc:creator>
  <cp:lastModifiedBy>Lee, Tyler J. (GSFC-596.0)[McCallie Associates Inc]</cp:lastModifiedBy>
  <dcterms:created xsi:type="dcterms:W3CDTF">2018-10-24T17:30:17Z</dcterms:created>
  <dcterms:modified xsi:type="dcterms:W3CDTF">2026-02-11T22:56:19Z</dcterms:modified>
</cp:coreProperties>
</file>